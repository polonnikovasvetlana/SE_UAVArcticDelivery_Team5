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FR questions" sheetId="1" r:id="rId4"/>
    <sheet state="visible" name="Progress" sheetId="2" r:id="rId5"/>
    <sheet state="visible" name="Legend" sheetId="3" r:id="rId6"/>
  </sheets>
  <definedNames>
    <definedName hidden="1" localSheetId="0" name="_xlnm._FilterDatabase">'NFR questions'!$A$4:$I$69</definedName>
  </definedNames>
  <calcPr/>
  <extLst>
    <ext uri="GoogleSheetsCustomDataVersion2">
      <go:sheetsCustomData xmlns:go="http://customooxmlschemas.google.com/" r:id="rId7" roundtripDataChecksum="wPMmubb00HA+oMndUYG0SomhjK3yjrZS1GJNASbNv0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1">
      <text>
        <t xml:space="preserve">======
ID#AAACI5BBkmo
Unknown Author    (2026-10-19 12:11:42)
Formula: A4 (h) minus A5 and E4 (min, converted to h).</t>
      </text>
    </comment>
  </commentList>
  <extLst>
    <ext uri="GoogleSheetsCustomDataVersion2">
      <go:sheetsCustomData xmlns:go="http://customooxmlschemas.google.com/" r:id="rId1" roundtripDataSignature="AMtx7mijn/wS/LCt+m3srVoZ+eRB0+dfow=="/>
    </ext>
  </extLst>
</comments>
</file>

<file path=xl/sharedStrings.xml><?xml version="1.0" encoding="utf-8"?>
<sst xmlns="http://schemas.openxmlformats.org/spreadsheetml/2006/main" count="510" uniqueCount="344">
  <si>
    <t>Non-functional requirements: questions to answer with numbers</t>
  </si>
  <si>
    <t>Emergency drug delivery to a ship or port by UAV system, Russian Arctic (Team 5). Fill in the yellow cells. See the Legend sheet for how.</t>
  </si>
  <si>
    <t>ID</t>
  </si>
  <si>
    <t>Question</t>
  </si>
  <si>
    <t>Unit</t>
  </si>
  <si>
    <t>Comes from (OA element)</t>
  </si>
  <si>
    <t>Type</t>
  </si>
  <si>
    <t>Key driver</t>
  </si>
  <si>
    <t>Value</t>
  </si>
  <si>
    <t>Source / justification</t>
  </si>
  <si>
    <t>Status</t>
  </si>
  <si>
    <t>A</t>
  </si>
  <si>
    <t>Demand and response time  (OAB-1: emergency report → decision)</t>
  </si>
  <si>
    <t>A1</t>
  </si>
  <si>
    <t>How many delivery requests per year must the system handle?</t>
  </si>
  <si>
    <t>requests/year</t>
  </si>
  <si>
    <t>Emergency report</t>
  </si>
  <si>
    <t>Fact</t>
  </si>
  <si>
    <t>Ships: about 1 in 5 divert each year for medical reasons, which gives tens of cases in the sector. Add urgent drugs and samples for fields, ports and settlements, about 5 a week. Assumed; check with FMBA and Glavsevmorput.</t>
  </si>
  <si>
    <t>Assumed</t>
  </si>
  <si>
    <t>A2</t>
  </si>
  <si>
    <t>How many missions may run at the same time at peak?</t>
  </si>
  <si>
    <t>missions</t>
  </si>
  <si>
    <t>Target</t>
  </si>
  <si>
    <t>3 covers the backlog after a bad-weather window, about one per base area.</t>
  </si>
  <si>
    <t>Open</t>
  </si>
  <si>
    <t>A3</t>
  </si>
  <si>
    <t>What share of requests go to ships at sea (rest: ports and shore sites)?</t>
  </si>
  <si>
    <t>%</t>
  </si>
  <si>
    <t>OC1.1 / OC1.2</t>
  </si>
  <si>
    <t>A4</t>
  </si>
  <si>
    <t>What is the maximum time from emergency report to medicine in the crew's hands?</t>
  </si>
  <si>
    <t>h</t>
  </si>
  <si>
    <t>Whole OAB-1 chain</t>
  </si>
  <si>
    <t>★</t>
  </si>
  <si>
    <t>≤ 3 h for fixed sites (C1 ≤ 200 km)
≤ 5 h for ships at sea (C2 ≤ 300 km, moving target):
Must clearly beat a helicopter (hours, weather-limited, &gt;1M RUB) and diversion (days). It covers the critical first hours for antibiotics and antidotes.</t>
  </si>
  <si>
    <t>A5</t>
  </si>
  <si>
    <t>What is the maximum time from delivery request to departure?</t>
  </si>
  <si>
    <t>min</t>
  </si>
  <si>
    <t>Delivery request → Transport</t>
  </si>
  <si>
    <t>Medical decision by radio ~15–20 min, then preparation and approval in parallel ~25–30 min</t>
  </si>
  <si>
    <t>B</t>
  </si>
  <si>
    <t>Payload  (OAB-1: Prepare medicine package → Medicine package)</t>
  </si>
  <si>
    <t>B1</t>
  </si>
  <si>
    <t>What is the maximum payload mass per delivery?</t>
  </si>
  <si>
    <t>kg</t>
  </si>
  <si>
    <t>Medicine package</t>
  </si>
  <si>
    <t>A drug or test kit is 0.5–2 kg, plus an insulated cold-chain box. Benchmarks: Zipline ~1.8 kg, Matternet M2 2 kg. At Russian Post’s 13,600 RUB/kg, that’s still ~40k RUB per flight.</t>
  </si>
  <si>
    <t>B2</t>
  </si>
  <si>
    <t>What are the maximum package dimensions?</t>
  </si>
  <si>
    <t>cm × cm × cm</t>
  </si>
  <si>
    <t>35 × 25 × 20</t>
  </si>
  <si>
    <t>Fits an insulated medical carrier with a 3 kg load.</t>
  </si>
  <si>
    <t>B3</t>
  </si>
  <si>
    <t>What temperature range must the package keep inside?</t>
  </si>
  <si>
    <t>°C</t>
  </si>
  <si>
    <t xml:space="preserve"> + 2…+8 °C
never below 0 °C</t>
  </si>
  <si>
    <t xml:space="preserve"> +2…+8 °C is the standard range for vaccines, insulin and samples. In the Arctic the real risk is freezing, not overheating.</t>
  </si>
  <si>
    <t>B4</t>
  </si>
  <si>
    <t>For how long must the package hold that temperature?</t>
  </si>
  <si>
    <t>Medicine package (at least A4)</t>
  </si>
  <si>
    <t>Derived</t>
  </si>
  <si>
    <t xml:space="preserve"> A4 (4 h) plus 50% margin for waiting on deck or a delayed handover.</t>
  </si>
  <si>
    <t>B5</t>
  </si>
  <si>
    <t>What maximum shock may the package experience?</t>
  </si>
  <si>
    <t>g</t>
  </si>
  <si>
    <t>Medicine package (samples)</t>
  </si>
  <si>
    <t>≤ 10 g</t>
  </si>
  <si>
    <t>Protects glass vials and sample tubes. It allows a soft winch or parachute handover and rules out free fall. Assumed; check with the pharmacy or lab.</t>
  </si>
  <si>
    <t>C</t>
  </si>
  <si>
    <t>Distance and coverage  (OAB-1: Transport package to the site)</t>
  </si>
  <si>
    <t>C1</t>
  </si>
  <si>
    <t>What is the maximum distance from a base to a fixed site (port, field)?</t>
  </si>
  <si>
    <t>km</t>
  </si>
  <si>
    <t>OC1.1, DRM-1/3</t>
  </si>
  <si>
    <t>From the nearest base on map 2: Prirazlomnoye 49 km, Arctic LNG 2 87, Messoyakha 127, Bovanenkovo 165. Novy Port (~270 km) has its own airfield and terminal, so it’s left out.</t>
  </si>
  <si>
    <t>C2</t>
  </si>
  <si>
    <t>What is the maximum distance from a base to a ship at sea?</t>
  </si>
  <si>
    <t>OC1.2, DRM-2</t>
  </si>
  <si>
    <t>Ships on the Kara Sea track are 190–340 km from the bases (Dikson → track 188 km, Sabetta → track 256 km). 300 covers most of it.</t>
  </si>
  <si>
    <t>C3</t>
  </si>
  <si>
    <t>What is the maximum speed of a target ship?</t>
  </si>
  <si>
    <t>knots</t>
  </si>
  <si>
    <t>OC1.2 (moving target)</t>
  </si>
  <si>
    <t>C4</t>
  </si>
  <si>
    <t>What is the maximum transit time? (calculated: A4 − A5 − E4)</t>
  </si>
  <si>
    <t>A4 minus preparation and handover</t>
  </si>
  <si>
    <t>Calculated from A4, A5 and E4; do not type here</t>
  </si>
  <si>
    <t>C5</t>
  </si>
  <si>
    <t>What length of route or area must be covered?</t>
  </si>
  <si>
    <t>km / km²</t>
  </si>
  <si>
    <t>Maps 1–2</t>
  </si>
  <si>
    <t>1500 km</t>
  </si>
  <si>
    <t>The NSR track Kara Gates → Dikson (~900 km) plus the Ob Bay lane to Sabetta (~350 km), and the onshore Yamal–Gydan cluster.</t>
  </si>
  <si>
    <t>C6</t>
  </si>
  <si>
    <t>What is the largest gap between existing sites along the covered route?</t>
  </si>
  <si>
    <t>Map 2</t>
  </si>
  <si>
    <t>The largest gap between existing sites along that route is Sabetta ↔ Dikson. The others are shorter: Varandey–Amderma ~180, Amderma–Kharasavey ~250, Kharasavey–Sabetta ~190.</t>
  </si>
  <si>
    <t>D</t>
  </si>
  <si>
    <t>Operating environment  (Weather in which delivery must still work)</t>
  </si>
  <si>
    <t>D1</t>
  </si>
  <si>
    <t>What is the operating temperature range?</t>
  </si>
  <si>
    <t>Arctic climate</t>
  </si>
  <si>
    <t>-40...+20 С</t>
  </si>
  <si>
    <t>The Northern Sea Route Handbook reports winter temperatures of approximately −30 to −40 °C and summer temperatures occasionally exceeding +20 °C. The proposed range reflects Arctic operating conditions.</t>
  </si>
  <si>
    <t>D2</t>
  </si>
  <si>
    <t>What is the maximum sustained wind for operation?</t>
  </si>
  <si>
    <t>m/s</t>
  </si>
  <si>
    <t>15 m/s</t>
  </si>
  <si>
    <t>Proposed design target for strong Arctic winds. For comparison, the DJI FlyCart 30 has a maximum wind resistance of 12 m/s, while the aOrion Heli-E specifies wind resistance around 15–16 m/s. The target requires UAV-specific verification.</t>
  </si>
  <si>
    <t>D3</t>
  </si>
  <si>
    <t>What is the maximum gust?</t>
  </si>
  <si>
    <t>20 m/s</t>
  </si>
  <si>
    <t>Preliminary engineering target for short-duration gusts, selected to provide a margin above the 15 m/s sustained-wind requirement. Not validated by the cited UAV specifications; feasibility must be confirmed.</t>
  </si>
  <si>
    <t>D4</t>
  </si>
  <si>
    <t>What is the minimum visibility and cloud ceiling for operation?</t>
  </si>
  <si>
    <t>m / m</t>
  </si>
  <si>
    <t>Fog, snow</t>
  </si>
  <si>
    <t>Visibility ≥ 1000m cloud ceiling ≥ 150m</t>
  </si>
  <si>
    <t>Preliminary operational limits. Arctic marine fog and low clouds are common along the Northern Sea Route. Exact flight minima must be validated against the selected UAV, navigation system, and applicable aviation regulations.</t>
  </si>
  <si>
    <t>D5</t>
  </si>
  <si>
    <t>What share of missions happen in darkness (polar night)?</t>
  </si>
  <si>
    <t>Season</t>
  </si>
  <si>
    <t>50% of missions</t>
  </si>
  <si>
    <t>Preliminary planning assumption for missions conducted in darkness. Polar night and strong seasonal daylight variations occur at Arctic latitudes. The actual percentage must be calculated from mission locations, dates, and expected demand.</t>
  </si>
  <si>
    <t>D6</t>
  </si>
  <si>
    <t>What is the highest latitude of operation?</t>
  </si>
  <si>
    <t>°N</t>
  </si>
  <si>
    <t>Route (navigation and comms)</t>
  </si>
  <si>
    <t>80° N</t>
  </si>
  <si>
    <t>Proposed geographical coverage limit. Northern Sea Route waters include high-latitude passages such as Vilkitsky Strait, reaching approximately 77.8° N. The 80° N limit provides a geographical margin for operations</t>
  </si>
  <si>
    <t>D7</t>
  </si>
  <si>
    <t>On what share of days per year must the service be available?</t>
  </si>
  <si>
    <t>% of days</t>
  </si>
  <si>
    <t>Customer expectation vs weather statistics</t>
  </si>
  <si>
    <t>≥ 90% of days/year</t>
  </si>
  <si>
    <t>Proposed service availability target for emergency medical delivery. This is a stakeholder-driven requirement, not a measured Arctic weather statistic. Achievability must be assessed using regional weather records and operational constraints.</t>
  </si>
  <si>
    <t>E</t>
  </si>
  <si>
    <t>Handover at the receiving site  (OAB-1: Medicine package → Receive and confirm package)</t>
  </si>
  <si>
    <t>E1</t>
  </si>
  <si>
    <t>What free area can a typical receiving site provide (ship deck, port pad)?</t>
  </si>
  <si>
    <t>m × m</t>
  </si>
  <si>
    <t>Receiving Site</t>
  </si>
  <si>
    <t>5 × 5 m</t>
  </si>
  <si>
    <t>Proposed minimum clear receiving area on the ship deck for winch delivery. DJI FlyCart 30 demonstrates cargo delivery without landing, using a 20 m winch cable. The 5 × 5 m area is a preliminary safety requirement, not a manufacturer specification</t>
  </si>
  <si>
    <t>E2</t>
  </si>
  <si>
    <t>What maximum ship motion must handover tolerate?</t>
  </si>
  <si>
    <t>roll °, heave m</t>
  </si>
  <si>
    <t>OC1.2</t>
  </si>
  <si>
    <t>Roll ≤ ±5° heave ≤ ±0.5 m</t>
  </si>
  <si>
    <t>Preliminary limits for ship motion during package transfer. Deck movement affects payload positioning and safe touchdown. These limits must be validated through vessel-motion analysis and winch delivery tests; they are not established by the DJI specifications.</t>
  </si>
  <si>
    <t>E3</t>
  </si>
  <si>
    <t>What delivery position accuracy is required?</t>
  </si>
  <si>
    <t>m</t>
  </si>
  <si>
    <t>Receive and confirm package</t>
  </si>
  <si>
    <t>≤ 1 m</t>
  </si>
  <si>
    <t>Proposed maximum package placement error relative to the designated receiving point. DJI FlyCart 30 specifies RTK hovering accuracy of ±0.1 m under strong GNSS conditions, but this does not guarantee 1 m package placement accuracy on a moving ship. Additional compensation for wind and vessel motion is required.</t>
  </si>
  <si>
    <t>E4</t>
  </si>
  <si>
    <t>What is the maximum handover time at the site?</t>
  </si>
  <si>
    <t>≤ 5 min</t>
  </si>
  <si>
    <t>Proposed maximum handover time, including positioning, lowering, release and confirmation. DJI FlyCart 30 supports a maximum winch speed of 0.8 m/s and a 20 m cable, making a short transfer technically plausible. The complete 5-minute target requires operational validation.</t>
  </si>
  <si>
    <t>E5</t>
  </si>
  <si>
    <t>What is the maximum delay for the delivery confirmation to reach the coordinator?</t>
  </si>
  <si>
    <t>Delivery confirmation</t>
  </si>
  <si>
    <t>≤ 2 min</t>
  </si>
  <si>
    <t>Proposed maximum delay between successful package receipt and confirmation to the ground coordinator. This is a system-level communication requirement selected for emergency medical delivery, not a value taken from UAV specifications.</t>
  </si>
  <si>
    <t>F</t>
  </si>
  <si>
    <t>Weather data  (OAB-2: Collect → Process → Use in forecasts)</t>
  </si>
  <si>
    <t>F1</t>
  </si>
  <si>
    <t>What range and accuracy are needed for temperature?</t>
  </si>
  <si>
    <t>°C, ±°C</t>
  </si>
  <si>
    <t>Weather observations</t>
  </si>
  <si>
    <t>−50 to +30 °C; ±1 °C</t>
  </si>
  <si>
    <t>Proposed temperature data range covering the Arctic operating environment (D1: −40 to +20 °C) with an additional 10 °C margin. The accuracy is a preliminary engineering target.</t>
  </si>
  <si>
    <t>F2</t>
  </si>
  <si>
    <t>What range and accuracy are needed for pressure?</t>
  </si>
  <si>
    <t>hPa, ±hPa</t>
  </si>
  <si>
    <t>900–1100 hPa; ±1 hPa</t>
  </si>
  <si>
    <t>Proposed atmospheric pressure measurement range and accuracy for weather monitoring and flight planning. The range covers typical sea-level pressure variations with additional margin.</t>
  </si>
  <si>
    <t>F3</t>
  </si>
  <si>
    <t>What range and accuracy are needed for wind speed and direction?</t>
  </si>
  <si>
    <t>m/s ±, ° ±</t>
  </si>
  <si>
    <t>0–40 m/s; ±1 m/s; direction ±10°</t>
  </si>
  <si>
    <t>Proposed wind measurement range exceeding the UAV operating limits (D2: 15 m/s sustained wind; D3: 20 m/s gusts). The additional range allows the system to detect unsafe wind conditions.</t>
  </si>
  <si>
    <t>F4</t>
  </si>
  <si>
    <t>What range and accuracy are needed for visibility?</t>
  </si>
  <si>
    <t>m, ±%</t>
  </si>
  <si>
    <t>0–20,000 m; ±10%</t>
  </si>
  <si>
    <t>Proposed visibility data range and accuracy. Visibility information supports flight planning and go/no-go decisions under Arctic fog and snow conditions.</t>
  </si>
  <si>
    <t>F5</t>
  </si>
  <si>
    <t>How often must measurements be taken?</t>
  </si>
  <si>
    <t>per s or per km</t>
  </si>
  <si>
    <t>Every 60 s</t>
  </si>
  <si>
    <t>Proposed update interval for local weather observations to detect rapidly changing conditions. Actual availability depends on the selected sensors and weather service.</t>
  </si>
  <si>
    <t>F6</t>
  </si>
  <si>
    <t>What altitude range must observations cover?</t>
  </si>
  <si>
    <t>0–500 m above sea level</t>
  </si>
  <si>
    <t>Proposed vertical coverage of weather observations for low-altitude UAV operations. This range must be adjusted after defining the UAV flight altitude.</t>
  </si>
  <si>
    <t>F7</t>
  </si>
  <si>
    <t>What is the maximum delay from measurement to delivery to the meteorological service?</t>
  </si>
  <si>
    <t>Weather data</t>
  </si>
  <si>
    <t>Proposed maximum delay between weather measurement and its availability to the meteorological service. This is a data-latency requirement, not a confirmed capability of Arctic weather networks.</t>
  </si>
  <si>
    <t>G</t>
  </si>
  <si>
    <t>Monitoring and communication  (OAB-1: Delivery plan, status in flight)</t>
  </si>
  <si>
    <t>G1</t>
  </si>
  <si>
    <t>What share of the mission distance must have a communication link?</t>
  </si>
  <si>
    <t>Transport package</t>
  </si>
  <si>
    <t>≥ 95</t>
  </si>
  <si>
    <t>BVLOS flight needs a near-continuous C2 link; gaps are covered by an autonomous failsafe (return / hold). Ties to the “loss of communication” risk. Depends on the chosen link (radio + satellite relay)</t>
  </si>
  <si>
    <t>G2</t>
  </si>
  <si>
    <t>What is the maximum interval between status updates in flight?</t>
  </si>
  <si>
    <t>s</t>
  </si>
  <si>
    <t>Status to operator</t>
  </si>
  <si>
    <t>≤ 10</t>
  </si>
  <si>
    <t>Telemetry at 1 Hz is typical, but a satellite link in the Arctic allows ~10 s. Needed for the operator’s go/abort decision</t>
  </si>
  <si>
    <t>G3</t>
  </si>
  <si>
    <t>What navigation position accuracy is required en route?</t>
  </si>
  <si>
    <t>Delivery plan</t>
  </si>
  <si>
    <t>≤ 5 (95%, horizontal)</t>
  </si>
  <si>
    <t>Multi-constellation GNSS (GPS + GLONASS; GLONASS handles high latitudes better). Handover precision (E3, ≤ 1 m) is a separate requirement and is achieved by local sensors.</t>
  </si>
  <si>
    <t>H</t>
  </si>
  <si>
    <t>Readiness and maintenance  (OAB-3: Supply → Maintain → Readiness status)</t>
  </si>
  <si>
    <t>H1</t>
  </si>
  <si>
    <t>What share of time must the system be ready to launch?</t>
  </si>
  <si>
    <t>Readiness status</t>
  </si>
  <si>
    <t>Technical readiness excluding weather. Consistent with D7 (≥ 90% days/year including weather no-go).</t>
  </si>
  <si>
    <t>H2</t>
  </si>
  <si>
    <t>What is the maximum turnaround time between missions?</t>
  </si>
  <si>
    <t>≤ 30</t>
  </si>
  <si>
    <t>Battery swap or warm-up, loading a new container, pre-flight checks. Cold batteries need preheating.</t>
  </si>
  <si>
    <t>H3</t>
  </si>
  <si>
    <t>What is the minimum time between failures?</t>
  </si>
  <si>
    <t>flight hours</t>
  </si>
  <si>
    <t>Maintain and calibrate equipment</t>
  </si>
  <si>
    <t>≥ 100</t>
  </si>
  <si>
    <t>Target level for an industrial UAV at concept stage; to be refined from the chosen platform’s data.</t>
  </si>
  <si>
    <t>H4</t>
  </si>
  <si>
    <t>What is the maximum time to repair at a base?</t>
  </si>
  <si>
    <t>≤ 24</t>
  </si>
  <si>
    <t>Replacement of line-replaceable units (LRUs) at the base without sending the UAV out for repair. Quick swap of the winch and battery ≤ 4 h.</t>
  </si>
  <si>
    <t>H5</t>
  </si>
  <si>
    <t>What resupply interval for spare parts must the system survive?</t>
  </si>
  <si>
    <t>days</t>
  </si>
  <si>
    <t>Spare parts and services</t>
  </si>
  <si>
    <t>Arctic port supply is seasonal (navigation season, ice, air only in winter), so a spare-parts kit sized for 90 days. This is a Fact type, so confirm with the port/operator stakeholders.</t>
  </si>
  <si>
    <t>H6</t>
  </si>
  <si>
    <t>What service life is required?</t>
  </si>
  <si>
    <t>years</t>
  </si>
  <si>
    <t>Invest in the service</t>
  </si>
  <si>
    <t>Airframe and electronics; batteries and the winch are consumables replaced by cycle count (~300–500 cycles).</t>
  </si>
  <si>
    <t>I</t>
  </si>
  <si>
    <t>Safety and regulation  (OAB-4: Permits, Operating rules, Concerns)</t>
  </si>
  <si>
    <t>I1</t>
  </si>
  <si>
    <t>What is the minimum mission success rate?</t>
  </si>
  <si>
    <t>OC1</t>
  </si>
  <si>
    <t>Of the missions launched after go/no-go. Success means delivered, drug integrity kept, delivery within the allowed time (E4, E5).</t>
  </si>
  <si>
    <t>I2</t>
  </si>
  <si>
    <t>What is the maximum acceptable probability of harm to people per flight hour?</t>
  </si>
  <si>
    <t>1/h</t>
  </si>
  <si>
    <t>Concerns, Operating rules</t>
  </si>
  <si>
    <t>Rule</t>
  </si>
  <si>
    <t>≤ 1·10⁻⁶</t>
  </si>
  <si>
    <t>Common target for ground risk in UAS safety methodology (JARUS SORA / EASA). Over water the main exposure is the crew at handover and the port zone.</t>
  </si>
  <si>
    <t>I3</t>
  </si>
  <si>
    <t>What is the maximum allowed flight altitude in the corridor?</t>
  </si>
  <si>
    <t>Operating rules</t>
  </si>
  <si>
    <t>150 (AGL)</t>
  </si>
  <si>
    <t>Working ceiling in the corridor; keeps flight below manned aviation and in the lower wind layer.</t>
  </si>
  <si>
    <t>I4</t>
  </si>
  <si>
    <t>What is the minimum distance from people and facilities, except at handover?</t>
  </si>
  <si>
    <t>≥ 50</t>
  </si>
  <si>
    <t>Margin over the common 30 m separation from uninvolved people, accounting for gusts up to 20 m/s.</t>
  </si>
  <si>
    <t>I5</t>
  </si>
  <si>
    <t>What is the maximum noise at the receiving site or settlement?</t>
  </si>
  <si>
    <t>dB</t>
  </si>
  <si>
    <t>Concerns</t>
  </si>
  <si>
    <t>≤ 55 dBA day / ≤ 45 dBA night</t>
  </si>
  <si>
    <t>At the settlement boundary, per Russian sanitary norms for residential areas (SanPiN). For ships there is no such limit, and emergency flights can have an exception.</t>
  </si>
  <si>
    <t>I6</t>
  </si>
  <si>
    <t>What maximum take-off mass does the target regulatory class allow?</t>
  </si>
  <si>
    <t>Operating permits</t>
  </si>
  <si>
    <t>In Russia, UAVs up to 30 kg are in the registration-only class; above that, airworthiness certification is needed.</t>
  </si>
  <si>
    <t>J</t>
  </si>
  <si>
    <t>Economics  (OAB-3: Invest in the service → Payment)</t>
  </si>
  <si>
    <t>J1</t>
  </si>
  <si>
    <t>What is the maximum cost per delivery?</t>
  </si>
  <si>
    <t>RUB</t>
  </si>
  <si>
    <t>Payment (helicopter &gt;1M, drone ~27k)</t>
  </si>
  <si>
    <t>≤ 30,000</t>
  </si>
  <si>
    <t>Preliminary target for the average transport cost per completed delivery, excluding the medicine purchase price. Includes allocated operating costs and equipment depreciation. To be validated against mission distance, annual demand and supplier quotations.</t>
  </si>
  <si>
    <t>J2</t>
  </si>
  <si>
    <t>What is the maximum capital cost of the system?</t>
  </si>
  <si>
    <t>≤ 15,000,000</t>
  </si>
  <si>
    <t>Preliminary investment ceiling for the initial service configuration, including UAVs, medical containers, weather sensors, ground equipment and commissioning. Assumes the use of existing port infrastructure. Feasibility must be checked against the three simultaneous missions specified in A2 and the required coverage.</t>
  </si>
  <si>
    <t>J3</t>
  </si>
  <si>
    <t>What is the maximum annual operating cost?</t>
  </si>
  <si>
    <t>RUB/year</t>
  </si>
  <si>
    <t>Payment</t>
  </si>
  <si>
    <t>≤ 6,000,000</t>
  </si>
  <si>
    <t>Preliminary annual operating budget covering allocated staff time, maintenance, batteries, communication, energy, insurance and consumables. Assumes shared facilities and personnel at existing sites. Equipment depreciation and medicine procurement are excluded.</t>
  </si>
  <si>
    <t>J4</t>
  </si>
  <si>
    <t>What payback period is required?</t>
  </si>
  <si>
    <t>≤ 5</t>
  </si>
  <si>
    <t>Proposed simple payback target. Payback must be calculated from the initial investment and annual net operating cash flow. The target requires validation of delivery tariffs, mission demand, operating costs and any public funding.</t>
  </si>
  <si>
    <t>J5</t>
  </si>
  <si>
    <t>What is the maximum staff per base?</t>
  </si>
  <si>
    <t>persons</t>
  </si>
  <si>
    <t>Manage the service and procure supplies</t>
  </si>
  <si>
    <t>≤ 2 on-duty persons per base</t>
  </si>
  <si>
    <t>Preliminary staffing target during an active mission: one operator or technician and one person responsible for package preparation and handling. Roles may be combined with existing port duties. Total staffing for continuous shift coverage must be determined separately.</t>
  </si>
  <si>
    <t>Progress by group</t>
  </si>
  <si>
    <t>Group</t>
  </si>
  <si>
    <t>Name</t>
  </si>
  <si>
    <t>Questions</t>
  </si>
  <si>
    <t>Answered</t>
  </si>
  <si>
    <t>Confirmed</t>
  </si>
  <si>
    <t>% answered</t>
  </si>
  <si>
    <t>Demand and response time</t>
  </si>
  <si>
    <t>Payload</t>
  </si>
  <si>
    <t>Distance and coverage</t>
  </si>
  <si>
    <t>Operating environment</t>
  </si>
  <si>
    <t>Handover at the receiving site</t>
  </si>
  <si>
    <t>Monitoring and communication</t>
  </si>
  <si>
    <t>Readiness and maintenance</t>
  </si>
  <si>
    <t>Safety and regulation</t>
  </si>
  <si>
    <t>Economics</t>
  </si>
  <si>
    <t>Total</t>
  </si>
  <si>
    <t>Note: C4 is calculated, so it counts as answered once A4, A5 and E4 are filled.</t>
  </si>
  <si>
    <t>How to fill in this workbook</t>
  </si>
  <si>
    <t>Yellow cells</t>
  </si>
  <si>
    <t>The only cells to edit: Value, Source / justification and Status in the NFR questions sheet.</t>
  </si>
  <si>
    <t>Grey cell</t>
  </si>
  <si>
    <t>Calculated (C4 transit time). Do not type here.</t>
  </si>
  <si>
    <t>A number, or a range for things like temperature (e.g. −45 … +20). Use the unit in the Unit column.</t>
  </si>
  <si>
    <t>Source</t>
  </si>
  <si>
    <t>Where the number comes from: climate dataset, regulation, market report, customer interview. Without a source, the value is an assumption.</t>
  </si>
  <si>
    <t>Open = not answered · Assumed = your estimate, to check · Confirmed = backed by a source.</t>
  </si>
  <si>
    <t>Fact = look it up (environment) · Target = stakeholders decide · Rule = set by regulation · Derived = calculated from other answers.</t>
  </si>
  <si>
    <t>Key driver ★</t>
  </si>
  <si>
    <t>Answer these eight first: A4, B1, C2, D1, D2, D7, E2, J1. They drive the whole design.</t>
  </si>
  <si>
    <t>Conflicts</t>
  </si>
  <si>
    <t>Some answers will conflict (e.g. high availability D7 vs low cost J1). Note it in Source; it is resolved in the LA/PA trade-off.</t>
  </si>
  <si>
    <t>Example row (format only)</t>
  </si>
  <si>
    <t>B1 | What is the maximum payload mass per delivery? | kg | Value: 2 | Source: typical emergency kit mass, assumption to check with FMBA | Status: Assumed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</si>
</sst>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4.0"/>
      <color theme="1"/>
      <name val="Arial"/>
    </font>
    <font>
      <i/>
      <sz val="10.0"/>
      <color rgb="FF595959"/>
      <name val="Arial"/>
    </font>
    <font>
      <b/>
      <sz val="11.0"/>
      <color rgb="FFFFFFFF"/>
      <name val="Arial"/>
    </font>
    <font>
      <b/>
      <sz val="11.0"/>
      <color theme="1"/>
      <name val="Arial"/>
    </font>
    <font>
      <sz val="11.0"/>
      <color theme="1"/>
      <name val="Arial"/>
    </font>
    <font>
      <sz val="11.0"/>
      <color rgb="FF0000FF"/>
      <name val="Arial"/>
    </font>
    <font>
      <sz val="11.0"/>
      <color rgb="FF000000"/>
      <name val="Arial"/>
    </font>
    <font>
      <color theme="1"/>
      <name val="Calibri"/>
      <scheme val="minor"/>
    </font>
    <font>
      <sz val="12.0"/>
      <color rgb="FF000000"/>
      <name val="Calibri"/>
      <scheme val="minor"/>
    </font>
    <font>
      <i/>
      <sz val="9.0"/>
      <color rgb="FF595959"/>
      <name val="Arial"/>
    </font>
  </fonts>
  <fills count="6">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FFFF99"/>
        <bgColor rgb="FFFFFF99"/>
      </patternFill>
    </fill>
    <fill>
      <patternFill patternType="solid">
        <fgColor rgb="FFEDEDED"/>
        <bgColor rgb="FFEDEDED"/>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top" wrapText="1"/>
    </xf>
    <xf borderId="1" fillId="3" fontId="4" numFmtId="0" xfId="0" applyBorder="1" applyFill="1" applyFont="1"/>
    <xf borderId="1" fillId="0" fontId="5" numFmtId="0" xfId="0" applyAlignment="1" applyBorder="1" applyFont="1">
      <alignment horizontal="center" shrinkToFit="0" vertical="top" wrapText="1"/>
    </xf>
    <xf borderId="1" fillId="0" fontId="5" numFmtId="0" xfId="0" applyAlignment="1" applyBorder="1" applyFont="1">
      <alignment shrinkToFit="0" vertical="top" wrapText="1"/>
    </xf>
    <xf borderId="1" fillId="4" fontId="6" numFmtId="0" xfId="0" applyAlignment="1" applyBorder="1" applyFill="1" applyFont="1">
      <alignment readingOrder="0" shrinkToFit="0" vertical="top" wrapText="1"/>
    </xf>
    <xf borderId="1" fillId="4" fontId="5" numFmtId="0" xfId="0" applyAlignment="1" applyBorder="1" applyFill="1" applyFont="1">
      <alignment readingOrder="0" shrinkToFit="0" vertical="top" wrapText="1"/>
    </xf>
    <xf borderId="1" fillId="4" fontId="5" numFmtId="0" xfId="0" applyAlignment="1" applyBorder="1" applyFill="1" applyFont="1">
      <alignment horizontal="center" readingOrder="0" shrinkToFit="0" vertical="top" wrapText="1"/>
    </xf>
    <xf borderId="1" fillId="4" fontId="5" numFmtId="0" xfId="0" applyAlignment="1" applyBorder="1" applyFill="1" applyFont="1">
      <alignment horizontal="center" shrinkToFit="0" vertical="top" wrapText="1"/>
    </xf>
    <xf borderId="1" fillId="4" fontId="6" numFmtId="9" xfId="0" applyAlignment="1" applyBorder="1" applyFill="1" applyFont="1" applyNumberFormat="1">
      <alignment readingOrder="0" shrinkToFit="0" vertical="top" wrapText="1"/>
    </xf>
    <xf borderId="1" fillId="4" fontId="5" numFmtId="0" xfId="0" applyAlignment="1" applyBorder="1" applyFill="1" applyFont="1">
      <alignment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shrinkToFit="0" vertical="top" wrapText="1"/>
    </xf>
    <xf borderId="1" fillId="4" fontId="6" numFmtId="0" xfId="0" applyAlignment="1" applyBorder="1" applyFill="1" applyFont="1">
      <alignment shrinkToFit="0" vertical="top" wrapText="1"/>
    </xf>
    <xf borderId="1" fillId="5" fontId="7" numFmtId="164" xfId="0" applyAlignment="1" applyBorder="1" applyFill="1" applyFont="1" applyNumberFormat="1">
      <alignment shrinkToFit="0" vertical="top" wrapText="1"/>
    </xf>
    <xf borderId="1" fillId="5" fontId="5" numFmtId="0" xfId="0" applyAlignment="1" applyBorder="1" applyFill="1" applyFont="1">
      <alignment shrinkToFit="0" vertical="top" wrapText="1"/>
    </xf>
    <xf borderId="0" fillId="0" fontId="8" numFmtId="0" xfId="0" applyAlignment="1" applyFont="1">
      <alignment readingOrder="0"/>
    </xf>
    <xf borderId="1" fillId="4" fontId="7" numFmtId="0" xfId="0" applyAlignment="1" applyBorder="1" applyFill="1" applyFont="1">
      <alignment readingOrder="0" shrinkToFit="0" vertical="top" wrapText="1"/>
    </xf>
    <xf borderId="0" fillId="0" fontId="9" numFmtId="0" xfId="0" applyAlignment="1" applyFont="1">
      <alignment readingOrder="0"/>
    </xf>
    <xf borderId="0" fillId="0" fontId="9" numFmtId="0" xfId="0" applyAlignment="1" applyFont="1">
      <alignment readingOrder="0" vertical="center"/>
    </xf>
    <xf borderId="1" fillId="0" fontId="5" numFmtId="9" xfId="0" applyAlignment="1" applyBorder="1" applyFont="1" applyNumberFormat="1">
      <alignment horizontal="center" shrinkToFit="0" vertical="top" wrapText="1"/>
    </xf>
    <xf borderId="1" fillId="0" fontId="4" numFmtId="9" xfId="0" applyAlignment="1" applyBorder="1" applyFont="1" applyNumberFormat="1">
      <alignment horizontal="center" shrinkToFit="0" vertical="top" wrapText="1"/>
    </xf>
    <xf borderId="0" fillId="0" fontId="10" numFmtId="0" xfId="0" applyFont="1"/>
    <xf borderId="2" fillId="4" fontId="4" numFmtId="0" xfId="0" applyAlignment="1" applyBorder="1" applyFill="1" applyFont="1">
      <alignment shrinkToFit="0" vertical="top" wrapText="1"/>
    </xf>
    <xf borderId="0" fillId="0" fontId="5" numFmtId="0" xfId="0" applyAlignment="1" applyFont="1">
      <alignment shrinkToFit="0" vertical="top" wrapText="1"/>
    </xf>
    <xf borderId="2" fillId="5" fontId="4" numFmtId="0" xfId="0" applyAlignment="1" applyBorder="1" applyFill="1" applyFont="1">
      <alignment shrinkToFit="0" vertical="top" wrapText="1"/>
    </xf>
    <xf borderId="0" fillId="0" fontId="4" numFmtId="0" xfId="0" applyAlignment="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466725</xdr:colOff>
      <xdr:row>1</xdr:row>
      <xdr:rowOff>85725</xdr:rowOff>
    </xdr:from>
    <xdr:ext cx="6448425" cy="4705350"/>
    <xdr:pic>
      <xdr:nvPicPr>
        <xdr:cNvPr id="0" name="image2.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466725</xdr:colOff>
      <xdr:row>11</xdr:row>
      <xdr:rowOff>352425</xdr:rowOff>
    </xdr:from>
    <xdr:ext cx="6286500" cy="3629025"/>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58.0"/>
    <col customWidth="1" min="3" max="3" width="15.0"/>
    <col customWidth="1" min="4" max="4" width="30.0"/>
    <col customWidth="1" min="5" max="5" width="10.0"/>
    <col customWidth="1" min="6" max="6" width="8.0"/>
    <col customWidth="1" min="7" max="7" width="18.29"/>
    <col customWidth="1" min="8" max="8" width="38.0"/>
    <col customWidth="1" min="9" max="9" width="15.29"/>
    <col customWidth="1" min="10" max="26" width="8.71"/>
  </cols>
  <sheetData>
    <row r="1" ht="14.25" customHeight="1">
      <c r="A1" s="1" t="s">
        <v>0</v>
      </c>
    </row>
    <row r="2" ht="14.25" customHeight="1">
      <c r="A2" s="2" t="s">
        <v>1</v>
      </c>
    </row>
    <row r="3" ht="14.25" customHeight="1"/>
    <row r="4" ht="14.25" customHeight="1">
      <c r="A4" s="3" t="s">
        <v>2</v>
      </c>
      <c r="B4" s="3" t="s">
        <v>3</v>
      </c>
      <c r="C4" s="3" t="s">
        <v>4</v>
      </c>
      <c r="D4" s="3" t="s">
        <v>5</v>
      </c>
      <c r="E4" s="3" t="s">
        <v>6</v>
      </c>
      <c r="F4" s="3" t="s">
        <v>7</v>
      </c>
      <c r="G4" s="3" t="s">
        <v>8</v>
      </c>
      <c r="H4" s="3" t="s">
        <v>9</v>
      </c>
      <c r="I4" s="3" t="s">
        <v>10</v>
      </c>
    </row>
    <row r="5" ht="14.25" customHeight="1">
      <c r="A5" s="4" t="s">
        <v>11</v>
      </c>
      <c r="B5" s="4" t="s">
        <v>12</v>
      </c>
      <c r="C5" s="4"/>
      <c r="D5" s="4"/>
      <c r="E5" s="4"/>
      <c r="F5" s="4"/>
      <c r="G5" s="4"/>
      <c r="H5" s="4"/>
      <c r="I5" s="4"/>
    </row>
    <row r="6" ht="14.25" customHeight="1">
      <c r="A6" s="5" t="s">
        <v>13</v>
      </c>
      <c r="B6" s="6" t="s">
        <v>14</v>
      </c>
      <c r="C6" s="5" t="s">
        <v>15</v>
      </c>
      <c r="D6" s="6" t="s">
        <v>16</v>
      </c>
      <c r="E6" s="5" t="s">
        <v>17</v>
      </c>
      <c r="F6" s="5"/>
      <c r="G6" s="7">
        <v>300.0</v>
      </c>
      <c r="H6" s="8" t="s">
        <v>18</v>
      </c>
      <c r="I6" s="9" t="s">
        <v>19</v>
      </c>
    </row>
    <row r="7" ht="14.25" customHeight="1">
      <c r="A7" s="5" t="s">
        <v>20</v>
      </c>
      <c r="B7" s="6" t="s">
        <v>21</v>
      </c>
      <c r="C7" s="5" t="s">
        <v>22</v>
      </c>
      <c r="D7" s="6" t="s">
        <v>16</v>
      </c>
      <c r="E7" s="5" t="s">
        <v>23</v>
      </c>
      <c r="F7" s="5"/>
      <c r="G7" s="7">
        <v>3.0</v>
      </c>
      <c r="H7" s="8" t="s">
        <v>24</v>
      </c>
      <c r="I7" s="10" t="s">
        <v>25</v>
      </c>
    </row>
    <row r="8" ht="14.25" customHeight="1">
      <c r="A8" s="5" t="s">
        <v>26</v>
      </c>
      <c r="B8" s="6" t="s">
        <v>27</v>
      </c>
      <c r="C8" s="5" t="s">
        <v>28</v>
      </c>
      <c r="D8" s="6" t="s">
        <v>29</v>
      </c>
      <c r="E8" s="5" t="s">
        <v>17</v>
      </c>
      <c r="F8" s="5"/>
      <c r="G8" s="11">
        <v>0.3</v>
      </c>
      <c r="H8" s="12"/>
      <c r="I8" s="10" t="s">
        <v>25</v>
      </c>
    </row>
    <row r="9" ht="14.25" customHeight="1">
      <c r="A9" s="13" t="s">
        <v>30</v>
      </c>
      <c r="B9" s="14" t="s">
        <v>31</v>
      </c>
      <c r="C9" s="5" t="s">
        <v>32</v>
      </c>
      <c r="D9" s="6" t="s">
        <v>33</v>
      </c>
      <c r="E9" s="5" t="s">
        <v>23</v>
      </c>
      <c r="F9" s="5" t="s">
        <v>34</v>
      </c>
      <c r="G9" s="7">
        <v>4.0</v>
      </c>
      <c r="H9" s="8" t="s">
        <v>35</v>
      </c>
      <c r="I9" s="10" t="s">
        <v>25</v>
      </c>
    </row>
    <row r="10" ht="14.25" customHeight="1">
      <c r="A10" s="5" t="s">
        <v>36</v>
      </c>
      <c r="B10" s="6" t="s">
        <v>37</v>
      </c>
      <c r="C10" s="5" t="s">
        <v>38</v>
      </c>
      <c r="D10" s="6" t="s">
        <v>39</v>
      </c>
      <c r="E10" s="5" t="s">
        <v>23</v>
      </c>
      <c r="F10" s="5"/>
      <c r="G10" s="7">
        <v>45.0</v>
      </c>
      <c r="H10" s="8" t="s">
        <v>40</v>
      </c>
      <c r="I10" s="10" t="s">
        <v>25</v>
      </c>
    </row>
    <row r="11" ht="14.25" customHeight="1">
      <c r="A11" s="4" t="s">
        <v>41</v>
      </c>
      <c r="B11" s="4" t="s">
        <v>42</v>
      </c>
      <c r="C11" s="4"/>
      <c r="D11" s="4"/>
      <c r="E11" s="4"/>
      <c r="F11" s="4"/>
      <c r="G11" s="4"/>
      <c r="H11" s="4"/>
      <c r="I11" s="4"/>
    </row>
    <row r="12" ht="14.25" customHeight="1">
      <c r="A12" s="13" t="s">
        <v>43</v>
      </c>
      <c r="B12" s="14" t="s">
        <v>44</v>
      </c>
      <c r="C12" s="5" t="s">
        <v>45</v>
      </c>
      <c r="D12" s="6" t="s">
        <v>46</v>
      </c>
      <c r="E12" s="5" t="s">
        <v>23</v>
      </c>
      <c r="F12" s="5" t="s">
        <v>34</v>
      </c>
      <c r="G12" s="7">
        <v>3.0</v>
      </c>
      <c r="H12" s="8" t="s">
        <v>47</v>
      </c>
      <c r="I12" s="10" t="s">
        <v>25</v>
      </c>
    </row>
    <row r="13" ht="14.25" customHeight="1">
      <c r="A13" s="5" t="s">
        <v>48</v>
      </c>
      <c r="B13" s="6" t="s">
        <v>49</v>
      </c>
      <c r="C13" s="5" t="s">
        <v>50</v>
      </c>
      <c r="D13" s="6" t="s">
        <v>46</v>
      </c>
      <c r="E13" s="5" t="s">
        <v>23</v>
      </c>
      <c r="F13" s="5"/>
      <c r="G13" s="7" t="s">
        <v>51</v>
      </c>
      <c r="H13" s="8" t="s">
        <v>52</v>
      </c>
      <c r="I13" s="10" t="s">
        <v>25</v>
      </c>
    </row>
    <row r="14" ht="14.25" customHeight="1">
      <c r="A14" s="5" t="s">
        <v>53</v>
      </c>
      <c r="B14" s="6" t="s">
        <v>54</v>
      </c>
      <c r="C14" s="5" t="s">
        <v>55</v>
      </c>
      <c r="D14" s="6" t="s">
        <v>46</v>
      </c>
      <c r="E14" s="5" t="s">
        <v>17</v>
      </c>
      <c r="F14" s="5"/>
      <c r="G14" s="7" t="s">
        <v>56</v>
      </c>
      <c r="H14" s="8" t="s">
        <v>57</v>
      </c>
      <c r="I14" s="10" t="s">
        <v>25</v>
      </c>
    </row>
    <row r="15" ht="14.25" customHeight="1">
      <c r="A15" s="5" t="s">
        <v>58</v>
      </c>
      <c r="B15" s="6" t="s">
        <v>59</v>
      </c>
      <c r="C15" s="5" t="s">
        <v>32</v>
      </c>
      <c r="D15" s="6" t="s">
        <v>60</v>
      </c>
      <c r="E15" s="5" t="s">
        <v>61</v>
      </c>
      <c r="F15" s="5"/>
      <c r="G15" s="7">
        <v>6.0</v>
      </c>
      <c r="H15" s="8" t="s">
        <v>62</v>
      </c>
      <c r="I15" s="10" t="s">
        <v>25</v>
      </c>
    </row>
    <row r="16" ht="14.25" customHeight="1">
      <c r="A16" s="5" t="s">
        <v>63</v>
      </c>
      <c r="B16" s="6" t="s">
        <v>64</v>
      </c>
      <c r="C16" s="5" t="s">
        <v>65</v>
      </c>
      <c r="D16" s="6" t="s">
        <v>66</v>
      </c>
      <c r="E16" s="5" t="s">
        <v>17</v>
      </c>
      <c r="F16" s="5"/>
      <c r="G16" s="7" t="s">
        <v>67</v>
      </c>
      <c r="H16" s="8" t="s">
        <v>68</v>
      </c>
      <c r="I16" s="10" t="s">
        <v>25</v>
      </c>
    </row>
    <row r="17" ht="14.25" customHeight="1">
      <c r="A17" s="4" t="s">
        <v>69</v>
      </c>
      <c r="B17" s="4" t="s">
        <v>70</v>
      </c>
      <c r="C17" s="4"/>
      <c r="D17" s="4"/>
      <c r="E17" s="4"/>
      <c r="F17" s="4"/>
      <c r="G17" s="4"/>
      <c r="H17" s="4"/>
      <c r="I17" s="4"/>
    </row>
    <row r="18" ht="14.25" customHeight="1">
      <c r="A18" s="5" t="s">
        <v>71</v>
      </c>
      <c r="B18" s="6" t="s">
        <v>72</v>
      </c>
      <c r="C18" s="5" t="s">
        <v>73</v>
      </c>
      <c r="D18" s="6" t="s">
        <v>74</v>
      </c>
      <c r="E18" s="5" t="s">
        <v>17</v>
      </c>
      <c r="F18" s="5"/>
      <c r="G18" s="7">
        <v>200.0</v>
      </c>
      <c r="H18" s="8" t="s">
        <v>75</v>
      </c>
      <c r="I18" s="10" t="s">
        <v>25</v>
      </c>
    </row>
    <row r="19" ht="14.25" customHeight="1">
      <c r="A19" s="13" t="s">
        <v>76</v>
      </c>
      <c r="B19" s="14" t="s">
        <v>77</v>
      </c>
      <c r="C19" s="5" t="s">
        <v>73</v>
      </c>
      <c r="D19" s="6" t="s">
        <v>78</v>
      </c>
      <c r="E19" s="5" t="s">
        <v>23</v>
      </c>
      <c r="F19" s="5" t="s">
        <v>34</v>
      </c>
      <c r="G19" s="7">
        <v>300.0</v>
      </c>
      <c r="H19" s="8" t="s">
        <v>79</v>
      </c>
      <c r="I19" s="10" t="s">
        <v>25</v>
      </c>
    </row>
    <row r="20" ht="14.25" customHeight="1">
      <c r="A20" s="5" t="s">
        <v>80</v>
      </c>
      <c r="B20" s="6" t="s">
        <v>81</v>
      </c>
      <c r="C20" s="5" t="s">
        <v>82</v>
      </c>
      <c r="D20" s="6" t="s">
        <v>83</v>
      </c>
      <c r="E20" s="5" t="s">
        <v>17</v>
      </c>
      <c r="F20" s="5"/>
      <c r="G20" s="15"/>
      <c r="H20" s="12"/>
      <c r="I20" s="10" t="s">
        <v>25</v>
      </c>
    </row>
    <row r="21" ht="14.25" customHeight="1">
      <c r="A21" s="5" t="s">
        <v>84</v>
      </c>
      <c r="B21" s="6" t="s">
        <v>85</v>
      </c>
      <c r="C21" s="5" t="s">
        <v>32</v>
      </c>
      <c r="D21" s="6" t="s">
        <v>86</v>
      </c>
      <c r="E21" s="5" t="s">
        <v>61</v>
      </c>
      <c r="F21" s="5"/>
      <c r="G21" s="16" t="str">
        <f>IF(COUNT(G9,G10,G36)&lt;3,"",G9-G10/60-G36/60)</f>
        <v/>
      </c>
      <c r="H21" s="17" t="s">
        <v>87</v>
      </c>
      <c r="I21" s="10" t="s">
        <v>25</v>
      </c>
    </row>
    <row r="22" ht="14.25" customHeight="1">
      <c r="A22" s="5" t="s">
        <v>88</v>
      </c>
      <c r="B22" s="6" t="s">
        <v>89</v>
      </c>
      <c r="C22" s="5" t="s">
        <v>90</v>
      </c>
      <c r="D22" s="6" t="s">
        <v>91</v>
      </c>
      <c r="E22" s="5" t="s">
        <v>23</v>
      </c>
      <c r="F22" s="5"/>
      <c r="G22" s="7" t="s">
        <v>92</v>
      </c>
      <c r="H22" s="8" t="s">
        <v>93</v>
      </c>
      <c r="I22" s="10" t="s">
        <v>25</v>
      </c>
    </row>
    <row r="23" ht="14.25" customHeight="1">
      <c r="A23" s="5" t="s">
        <v>94</v>
      </c>
      <c r="B23" s="6" t="s">
        <v>95</v>
      </c>
      <c r="C23" s="5" t="s">
        <v>73</v>
      </c>
      <c r="D23" s="6" t="s">
        <v>96</v>
      </c>
      <c r="E23" s="5" t="s">
        <v>17</v>
      </c>
      <c r="F23" s="5"/>
      <c r="G23" s="7">
        <v>380.0</v>
      </c>
      <c r="H23" s="8" t="s">
        <v>97</v>
      </c>
      <c r="I23" s="10" t="s">
        <v>25</v>
      </c>
    </row>
    <row r="24" ht="14.25" customHeight="1">
      <c r="A24" s="4" t="s">
        <v>98</v>
      </c>
      <c r="B24" s="4" t="s">
        <v>99</v>
      </c>
      <c r="C24" s="4"/>
      <c r="D24" s="4"/>
      <c r="E24" s="4"/>
      <c r="F24" s="4"/>
      <c r="G24" s="4"/>
      <c r="H24" s="4"/>
      <c r="I24" s="4"/>
    </row>
    <row r="25" ht="14.25" customHeight="1">
      <c r="A25" s="13" t="s">
        <v>100</v>
      </c>
      <c r="B25" s="14" t="s">
        <v>101</v>
      </c>
      <c r="C25" s="5" t="s">
        <v>55</v>
      </c>
      <c r="D25" s="6" t="s">
        <v>102</v>
      </c>
      <c r="E25" s="5" t="s">
        <v>17</v>
      </c>
      <c r="F25" s="5" t="s">
        <v>34</v>
      </c>
      <c r="G25" s="7" t="s">
        <v>103</v>
      </c>
      <c r="H25" s="8" t="s">
        <v>104</v>
      </c>
      <c r="I25" s="10" t="s">
        <v>25</v>
      </c>
    </row>
    <row r="26" ht="14.25" customHeight="1">
      <c r="A26" s="13" t="s">
        <v>105</v>
      </c>
      <c r="B26" s="14" t="s">
        <v>106</v>
      </c>
      <c r="C26" s="5" t="s">
        <v>107</v>
      </c>
      <c r="D26" s="6" t="s">
        <v>102</v>
      </c>
      <c r="E26" s="5" t="s">
        <v>17</v>
      </c>
      <c r="F26" s="5" t="s">
        <v>34</v>
      </c>
      <c r="G26" s="7" t="s">
        <v>108</v>
      </c>
      <c r="H26" s="8" t="s">
        <v>109</v>
      </c>
      <c r="I26" s="10" t="s">
        <v>25</v>
      </c>
    </row>
    <row r="27" ht="14.25" customHeight="1">
      <c r="A27" s="5" t="s">
        <v>110</v>
      </c>
      <c r="B27" s="6" t="s">
        <v>111</v>
      </c>
      <c r="C27" s="5" t="s">
        <v>107</v>
      </c>
      <c r="D27" s="6" t="s">
        <v>102</v>
      </c>
      <c r="E27" s="5" t="s">
        <v>17</v>
      </c>
      <c r="F27" s="5"/>
      <c r="G27" s="7" t="s">
        <v>112</v>
      </c>
      <c r="H27" s="8" t="s">
        <v>113</v>
      </c>
      <c r="I27" s="10" t="s">
        <v>25</v>
      </c>
    </row>
    <row r="28" ht="14.25" customHeight="1">
      <c r="A28" s="5" t="s">
        <v>114</v>
      </c>
      <c r="B28" s="6" t="s">
        <v>115</v>
      </c>
      <c r="C28" s="5" t="s">
        <v>116</v>
      </c>
      <c r="D28" s="6" t="s">
        <v>117</v>
      </c>
      <c r="E28" s="5" t="s">
        <v>17</v>
      </c>
      <c r="F28" s="5"/>
      <c r="G28" s="7" t="s">
        <v>118</v>
      </c>
      <c r="H28" s="8" t="s">
        <v>119</v>
      </c>
      <c r="I28" s="10" t="s">
        <v>25</v>
      </c>
    </row>
    <row r="29" ht="14.25" customHeight="1">
      <c r="A29" s="5" t="s">
        <v>120</v>
      </c>
      <c r="B29" s="6" t="s">
        <v>121</v>
      </c>
      <c r="C29" s="5" t="s">
        <v>28</v>
      </c>
      <c r="D29" s="6" t="s">
        <v>122</v>
      </c>
      <c r="E29" s="5" t="s">
        <v>17</v>
      </c>
      <c r="F29" s="5"/>
      <c r="G29" s="7" t="s">
        <v>123</v>
      </c>
      <c r="H29" s="8" t="s">
        <v>124</v>
      </c>
      <c r="I29" s="10" t="s">
        <v>25</v>
      </c>
    </row>
    <row r="30" ht="14.25" customHeight="1">
      <c r="A30" s="5" t="s">
        <v>125</v>
      </c>
      <c r="B30" s="6" t="s">
        <v>126</v>
      </c>
      <c r="C30" s="5" t="s">
        <v>127</v>
      </c>
      <c r="D30" s="6" t="s">
        <v>128</v>
      </c>
      <c r="E30" s="5" t="s">
        <v>17</v>
      </c>
      <c r="F30" s="5"/>
      <c r="G30" s="7" t="s">
        <v>129</v>
      </c>
      <c r="H30" s="8" t="s">
        <v>130</v>
      </c>
      <c r="I30" s="10" t="s">
        <v>25</v>
      </c>
    </row>
    <row r="31" ht="14.25" customHeight="1">
      <c r="A31" s="13" t="s">
        <v>131</v>
      </c>
      <c r="B31" s="14" t="s">
        <v>132</v>
      </c>
      <c r="C31" s="5" t="s">
        <v>133</v>
      </c>
      <c r="D31" s="6" t="s">
        <v>134</v>
      </c>
      <c r="E31" s="5" t="s">
        <v>23</v>
      </c>
      <c r="F31" s="5" t="s">
        <v>34</v>
      </c>
      <c r="G31" s="7" t="s">
        <v>135</v>
      </c>
      <c r="H31" s="8" t="s">
        <v>136</v>
      </c>
      <c r="I31" s="10" t="s">
        <v>25</v>
      </c>
    </row>
    <row r="32" ht="14.25" customHeight="1">
      <c r="A32" s="4" t="s">
        <v>137</v>
      </c>
      <c r="B32" s="4" t="s">
        <v>138</v>
      </c>
      <c r="C32" s="4"/>
      <c r="D32" s="4"/>
      <c r="E32" s="4"/>
      <c r="F32" s="4"/>
      <c r="G32" s="4"/>
      <c r="H32" s="4"/>
      <c r="I32" s="4"/>
    </row>
    <row r="33" ht="14.25" customHeight="1">
      <c r="A33" s="5" t="s">
        <v>139</v>
      </c>
      <c r="B33" s="6" t="s">
        <v>140</v>
      </c>
      <c r="C33" s="5" t="s">
        <v>141</v>
      </c>
      <c r="D33" s="6" t="s">
        <v>142</v>
      </c>
      <c r="E33" s="5" t="s">
        <v>17</v>
      </c>
      <c r="F33" s="5"/>
      <c r="G33" s="7" t="s">
        <v>143</v>
      </c>
      <c r="H33" s="8" t="s">
        <v>144</v>
      </c>
      <c r="I33" s="10" t="s">
        <v>25</v>
      </c>
    </row>
    <row r="34" ht="14.25" customHeight="1">
      <c r="A34" s="13" t="s">
        <v>145</v>
      </c>
      <c r="B34" s="14" t="s">
        <v>146</v>
      </c>
      <c r="C34" s="5" t="s">
        <v>147</v>
      </c>
      <c r="D34" s="6" t="s">
        <v>148</v>
      </c>
      <c r="E34" s="5" t="s">
        <v>17</v>
      </c>
      <c r="F34" s="5" t="s">
        <v>34</v>
      </c>
      <c r="G34" s="18" t="s">
        <v>149</v>
      </c>
      <c r="H34" s="8" t="s">
        <v>150</v>
      </c>
      <c r="I34" s="10" t="s">
        <v>25</v>
      </c>
    </row>
    <row r="35" ht="14.25" customHeight="1">
      <c r="A35" s="5" t="s">
        <v>151</v>
      </c>
      <c r="B35" s="6" t="s">
        <v>152</v>
      </c>
      <c r="C35" s="5" t="s">
        <v>153</v>
      </c>
      <c r="D35" s="6" t="s">
        <v>154</v>
      </c>
      <c r="E35" s="5" t="s">
        <v>23</v>
      </c>
      <c r="F35" s="5"/>
      <c r="G35" s="7" t="s">
        <v>155</v>
      </c>
      <c r="H35" s="18" t="s">
        <v>156</v>
      </c>
      <c r="I35" s="10" t="s">
        <v>25</v>
      </c>
    </row>
    <row r="36" ht="14.25" customHeight="1">
      <c r="A36" s="5" t="s">
        <v>157</v>
      </c>
      <c r="B36" s="6" t="s">
        <v>158</v>
      </c>
      <c r="C36" s="5" t="s">
        <v>38</v>
      </c>
      <c r="D36" s="6" t="s">
        <v>154</v>
      </c>
      <c r="E36" s="5" t="s">
        <v>23</v>
      </c>
      <c r="F36" s="5"/>
      <c r="G36" s="7" t="s">
        <v>159</v>
      </c>
      <c r="H36" s="8" t="s">
        <v>160</v>
      </c>
      <c r="I36" s="10" t="s">
        <v>25</v>
      </c>
    </row>
    <row r="37" ht="14.25" customHeight="1">
      <c r="A37" s="5" t="s">
        <v>161</v>
      </c>
      <c r="B37" s="6" t="s">
        <v>162</v>
      </c>
      <c r="C37" s="5" t="s">
        <v>38</v>
      </c>
      <c r="D37" s="6" t="s">
        <v>163</v>
      </c>
      <c r="E37" s="5" t="s">
        <v>23</v>
      </c>
      <c r="F37" s="5"/>
      <c r="G37" s="7" t="s">
        <v>164</v>
      </c>
      <c r="H37" s="8" t="s">
        <v>165</v>
      </c>
      <c r="I37" s="10" t="s">
        <v>25</v>
      </c>
    </row>
    <row r="38" ht="14.25" customHeight="1">
      <c r="A38" s="4" t="s">
        <v>166</v>
      </c>
      <c r="B38" s="4" t="s">
        <v>167</v>
      </c>
      <c r="C38" s="4"/>
      <c r="D38" s="4"/>
      <c r="E38" s="4"/>
      <c r="F38" s="4"/>
      <c r="G38" s="4"/>
      <c r="H38" s="4"/>
      <c r="I38" s="4"/>
    </row>
    <row r="39" ht="14.25" customHeight="1">
      <c r="A39" s="5" t="s">
        <v>168</v>
      </c>
      <c r="B39" s="6" t="s">
        <v>169</v>
      </c>
      <c r="C39" s="5" t="s">
        <v>170</v>
      </c>
      <c r="D39" s="6" t="s">
        <v>171</v>
      </c>
      <c r="E39" s="5" t="s">
        <v>23</v>
      </c>
      <c r="F39" s="5"/>
      <c r="G39" s="18" t="s">
        <v>172</v>
      </c>
      <c r="H39" s="8" t="s">
        <v>173</v>
      </c>
      <c r="I39" s="10" t="s">
        <v>25</v>
      </c>
    </row>
    <row r="40" ht="14.25" customHeight="1">
      <c r="A40" s="5" t="s">
        <v>174</v>
      </c>
      <c r="B40" s="6" t="s">
        <v>175</v>
      </c>
      <c r="C40" s="5" t="s">
        <v>176</v>
      </c>
      <c r="D40" s="6" t="s">
        <v>171</v>
      </c>
      <c r="E40" s="5" t="s">
        <v>23</v>
      </c>
      <c r="F40" s="5"/>
      <c r="G40" s="7" t="s">
        <v>177</v>
      </c>
      <c r="H40" s="8" t="s">
        <v>178</v>
      </c>
      <c r="I40" s="10" t="s">
        <v>25</v>
      </c>
    </row>
    <row r="41" ht="14.25" customHeight="1">
      <c r="A41" s="5" t="s">
        <v>179</v>
      </c>
      <c r="B41" s="6" t="s">
        <v>180</v>
      </c>
      <c r="C41" s="5" t="s">
        <v>181</v>
      </c>
      <c r="D41" s="6" t="s">
        <v>171</v>
      </c>
      <c r="E41" s="5" t="s">
        <v>23</v>
      </c>
      <c r="F41" s="5"/>
      <c r="G41" s="7" t="s">
        <v>182</v>
      </c>
      <c r="H41" s="8" t="s">
        <v>183</v>
      </c>
      <c r="I41" s="10" t="s">
        <v>25</v>
      </c>
    </row>
    <row r="42" ht="14.25" customHeight="1">
      <c r="A42" s="5" t="s">
        <v>184</v>
      </c>
      <c r="B42" s="6" t="s">
        <v>185</v>
      </c>
      <c r="C42" s="5" t="s">
        <v>186</v>
      </c>
      <c r="D42" s="6" t="s">
        <v>171</v>
      </c>
      <c r="E42" s="5" t="s">
        <v>23</v>
      </c>
      <c r="F42" s="5"/>
      <c r="G42" s="7" t="s">
        <v>187</v>
      </c>
      <c r="H42" s="18" t="s">
        <v>188</v>
      </c>
      <c r="I42" s="10" t="s">
        <v>25</v>
      </c>
    </row>
    <row r="43" ht="14.25" customHeight="1">
      <c r="A43" s="5" t="s">
        <v>189</v>
      </c>
      <c r="B43" s="6" t="s">
        <v>190</v>
      </c>
      <c r="C43" s="5" t="s">
        <v>191</v>
      </c>
      <c r="D43" s="6" t="s">
        <v>171</v>
      </c>
      <c r="E43" s="5" t="s">
        <v>23</v>
      </c>
      <c r="F43" s="5"/>
      <c r="G43" s="7" t="s">
        <v>192</v>
      </c>
      <c r="H43" s="8" t="s">
        <v>193</v>
      </c>
      <c r="I43" s="10" t="s">
        <v>25</v>
      </c>
    </row>
    <row r="44" ht="14.25" customHeight="1">
      <c r="A44" s="5" t="s">
        <v>194</v>
      </c>
      <c r="B44" s="6" t="s">
        <v>195</v>
      </c>
      <c r="C44" s="5" t="s">
        <v>153</v>
      </c>
      <c r="D44" s="6" t="s">
        <v>171</v>
      </c>
      <c r="E44" s="5" t="s">
        <v>23</v>
      </c>
      <c r="F44" s="5"/>
      <c r="G44" s="7" t="s">
        <v>196</v>
      </c>
      <c r="H44" s="8" t="s">
        <v>197</v>
      </c>
      <c r="I44" s="10" t="s">
        <v>25</v>
      </c>
    </row>
    <row r="45" ht="14.25" customHeight="1">
      <c r="A45" s="5" t="s">
        <v>198</v>
      </c>
      <c r="B45" s="6" t="s">
        <v>199</v>
      </c>
      <c r="C45" s="5" t="s">
        <v>38</v>
      </c>
      <c r="D45" s="6" t="s">
        <v>200</v>
      </c>
      <c r="E45" s="5" t="s">
        <v>23</v>
      </c>
      <c r="F45" s="5"/>
      <c r="G45" s="7" t="s">
        <v>164</v>
      </c>
      <c r="H45" s="18" t="s">
        <v>201</v>
      </c>
      <c r="I45" s="10" t="s">
        <v>25</v>
      </c>
    </row>
    <row r="46" ht="14.25" customHeight="1">
      <c r="A46" s="4" t="s">
        <v>202</v>
      </c>
      <c r="B46" s="4" t="s">
        <v>203</v>
      </c>
      <c r="C46" s="4"/>
      <c r="D46" s="4"/>
      <c r="E46" s="4"/>
      <c r="F46" s="4"/>
      <c r="G46" s="4"/>
      <c r="H46" s="4"/>
      <c r="I46" s="4"/>
    </row>
    <row r="47" ht="14.25" customHeight="1">
      <c r="A47" s="5" t="s">
        <v>204</v>
      </c>
      <c r="B47" s="6" t="s">
        <v>205</v>
      </c>
      <c r="C47" s="5" t="s">
        <v>28</v>
      </c>
      <c r="D47" s="6" t="s">
        <v>206</v>
      </c>
      <c r="E47" s="5" t="s">
        <v>23</v>
      </c>
      <c r="F47" s="5"/>
      <c r="G47" s="18" t="s">
        <v>207</v>
      </c>
      <c r="H47" s="18" t="s">
        <v>208</v>
      </c>
      <c r="I47" s="10" t="s">
        <v>25</v>
      </c>
    </row>
    <row r="48" ht="14.25" customHeight="1">
      <c r="A48" s="5" t="s">
        <v>209</v>
      </c>
      <c r="B48" s="6" t="s">
        <v>210</v>
      </c>
      <c r="C48" s="5" t="s">
        <v>211</v>
      </c>
      <c r="D48" s="6" t="s">
        <v>212</v>
      </c>
      <c r="E48" s="5" t="s">
        <v>23</v>
      </c>
      <c r="F48" s="5"/>
      <c r="G48" s="18" t="s">
        <v>213</v>
      </c>
      <c r="H48" s="18" t="s">
        <v>214</v>
      </c>
      <c r="I48" s="10" t="s">
        <v>25</v>
      </c>
    </row>
    <row r="49" ht="30.75" customHeight="1">
      <c r="A49" s="5" t="s">
        <v>215</v>
      </c>
      <c r="B49" s="6" t="s">
        <v>216</v>
      </c>
      <c r="C49" s="5" t="s">
        <v>153</v>
      </c>
      <c r="D49" s="6" t="s">
        <v>217</v>
      </c>
      <c r="E49" s="5" t="s">
        <v>23</v>
      </c>
      <c r="F49" s="5"/>
      <c r="G49" s="18" t="s">
        <v>218</v>
      </c>
      <c r="H49" s="18" t="s">
        <v>219</v>
      </c>
      <c r="I49" s="10" t="s">
        <v>25</v>
      </c>
    </row>
    <row r="50" ht="14.25" customHeight="1">
      <c r="A50" s="4" t="s">
        <v>220</v>
      </c>
      <c r="B50" s="4" t="s">
        <v>221</v>
      </c>
      <c r="C50" s="4"/>
      <c r="D50" s="4"/>
      <c r="E50" s="4"/>
      <c r="F50" s="4"/>
      <c r="G50" s="4"/>
      <c r="H50" s="4"/>
      <c r="I50" s="4"/>
    </row>
    <row r="51" ht="14.25" customHeight="1">
      <c r="A51" s="5" t="s">
        <v>222</v>
      </c>
      <c r="B51" s="6" t="s">
        <v>223</v>
      </c>
      <c r="C51" s="5" t="s">
        <v>28</v>
      </c>
      <c r="D51" s="6" t="s">
        <v>224</v>
      </c>
      <c r="E51" s="5" t="s">
        <v>23</v>
      </c>
      <c r="F51" s="5"/>
      <c r="G51" s="18" t="s">
        <v>207</v>
      </c>
      <c r="H51" s="18" t="s">
        <v>225</v>
      </c>
      <c r="I51" s="10" t="s">
        <v>25</v>
      </c>
    </row>
    <row r="52" ht="14.25" customHeight="1">
      <c r="A52" s="5" t="s">
        <v>226</v>
      </c>
      <c r="B52" s="6" t="s">
        <v>227</v>
      </c>
      <c r="C52" s="5" t="s">
        <v>38</v>
      </c>
      <c r="D52" s="6" t="s">
        <v>224</v>
      </c>
      <c r="E52" s="5" t="s">
        <v>23</v>
      </c>
      <c r="F52" s="5"/>
      <c r="G52" s="18" t="s">
        <v>228</v>
      </c>
      <c r="H52" s="18" t="s">
        <v>229</v>
      </c>
      <c r="I52" s="10" t="s">
        <v>25</v>
      </c>
    </row>
    <row r="53" ht="14.25" customHeight="1">
      <c r="A53" s="5" t="s">
        <v>230</v>
      </c>
      <c r="B53" s="6" t="s">
        <v>231</v>
      </c>
      <c r="C53" s="5" t="s">
        <v>232</v>
      </c>
      <c r="D53" s="6" t="s">
        <v>233</v>
      </c>
      <c r="E53" s="5" t="s">
        <v>23</v>
      </c>
      <c r="F53" s="5"/>
      <c r="G53" s="18" t="s">
        <v>234</v>
      </c>
      <c r="H53" s="18" t="s">
        <v>235</v>
      </c>
      <c r="I53" s="10" t="s">
        <v>25</v>
      </c>
    </row>
    <row r="54" ht="14.25" customHeight="1">
      <c r="A54" s="5" t="s">
        <v>236</v>
      </c>
      <c r="B54" s="6" t="s">
        <v>237</v>
      </c>
      <c r="C54" s="5" t="s">
        <v>32</v>
      </c>
      <c r="D54" s="6" t="s">
        <v>233</v>
      </c>
      <c r="E54" s="5" t="s">
        <v>23</v>
      </c>
      <c r="F54" s="5"/>
      <c r="G54" s="18" t="s">
        <v>238</v>
      </c>
      <c r="H54" s="18" t="s">
        <v>239</v>
      </c>
      <c r="I54" s="10" t="s">
        <v>25</v>
      </c>
    </row>
    <row r="55" ht="14.25" customHeight="1">
      <c r="A55" s="5" t="s">
        <v>240</v>
      </c>
      <c r="B55" s="6" t="s">
        <v>241</v>
      </c>
      <c r="C55" s="5" t="s">
        <v>242</v>
      </c>
      <c r="D55" s="6" t="s">
        <v>243</v>
      </c>
      <c r="E55" s="5" t="s">
        <v>17</v>
      </c>
      <c r="F55" s="5"/>
      <c r="G55" s="18">
        <v>90.0</v>
      </c>
      <c r="H55" s="18" t="s">
        <v>244</v>
      </c>
      <c r="I55" s="10" t="s">
        <v>25</v>
      </c>
    </row>
    <row r="56" ht="14.25" customHeight="1">
      <c r="A56" s="5" t="s">
        <v>245</v>
      </c>
      <c r="B56" s="6" t="s">
        <v>246</v>
      </c>
      <c r="C56" s="5" t="s">
        <v>247</v>
      </c>
      <c r="D56" s="6" t="s">
        <v>248</v>
      </c>
      <c r="E56" s="5" t="s">
        <v>23</v>
      </c>
      <c r="F56" s="5"/>
      <c r="G56" s="18">
        <v>7.0</v>
      </c>
      <c r="H56" s="18" t="s">
        <v>249</v>
      </c>
      <c r="I56" s="10" t="s">
        <v>25</v>
      </c>
    </row>
    <row r="57" ht="14.25" customHeight="1">
      <c r="A57" s="4" t="s">
        <v>250</v>
      </c>
      <c r="B57" s="4" t="s">
        <v>251</v>
      </c>
      <c r="C57" s="4"/>
      <c r="D57" s="4"/>
      <c r="E57" s="4"/>
      <c r="F57" s="4"/>
      <c r="G57" s="4"/>
      <c r="H57" s="4"/>
      <c r="I57" s="4"/>
    </row>
    <row r="58" ht="14.25" customHeight="1">
      <c r="A58" s="5" t="s">
        <v>252</v>
      </c>
      <c r="B58" s="6" t="s">
        <v>253</v>
      </c>
      <c r="C58" s="5" t="s">
        <v>28</v>
      </c>
      <c r="D58" s="6" t="s">
        <v>254</v>
      </c>
      <c r="E58" s="5" t="s">
        <v>23</v>
      </c>
      <c r="F58" s="5"/>
      <c r="G58" s="18" t="s">
        <v>207</v>
      </c>
      <c r="H58" s="18" t="s">
        <v>255</v>
      </c>
      <c r="I58" s="10" t="s">
        <v>25</v>
      </c>
    </row>
    <row r="59" ht="14.25" customHeight="1">
      <c r="A59" s="5" t="s">
        <v>256</v>
      </c>
      <c r="B59" s="6" t="s">
        <v>257</v>
      </c>
      <c r="C59" s="5" t="s">
        <v>258</v>
      </c>
      <c r="D59" s="6" t="s">
        <v>259</v>
      </c>
      <c r="E59" s="5" t="s">
        <v>260</v>
      </c>
      <c r="F59" s="5"/>
      <c r="G59" s="18" t="s">
        <v>261</v>
      </c>
      <c r="H59" s="18" t="s">
        <v>262</v>
      </c>
      <c r="I59" s="10" t="s">
        <v>25</v>
      </c>
    </row>
    <row r="60" ht="14.25" customHeight="1">
      <c r="A60" s="5" t="s">
        <v>263</v>
      </c>
      <c r="B60" s="6" t="s">
        <v>264</v>
      </c>
      <c r="C60" s="5" t="s">
        <v>153</v>
      </c>
      <c r="D60" s="6" t="s">
        <v>265</v>
      </c>
      <c r="E60" s="5" t="s">
        <v>260</v>
      </c>
      <c r="F60" s="5"/>
      <c r="G60" s="18" t="s">
        <v>266</v>
      </c>
      <c r="H60" s="18" t="s">
        <v>267</v>
      </c>
      <c r="I60" s="10" t="s">
        <v>25</v>
      </c>
    </row>
    <row r="61" ht="14.25" customHeight="1">
      <c r="A61" s="5" t="s">
        <v>268</v>
      </c>
      <c r="B61" s="6" t="s">
        <v>269</v>
      </c>
      <c r="C61" s="5" t="s">
        <v>153</v>
      </c>
      <c r="D61" s="6" t="s">
        <v>265</v>
      </c>
      <c r="E61" s="5" t="s">
        <v>260</v>
      </c>
      <c r="F61" s="5"/>
      <c r="G61" s="18" t="s">
        <v>270</v>
      </c>
      <c r="H61" s="18" t="s">
        <v>271</v>
      </c>
      <c r="I61" s="10" t="s">
        <v>25</v>
      </c>
    </row>
    <row r="62" ht="14.25" customHeight="1">
      <c r="A62" s="5" t="s">
        <v>272</v>
      </c>
      <c r="B62" s="6" t="s">
        <v>273</v>
      </c>
      <c r="C62" s="5" t="s">
        <v>274</v>
      </c>
      <c r="D62" s="6" t="s">
        <v>275</v>
      </c>
      <c r="E62" s="5" t="s">
        <v>260</v>
      </c>
      <c r="F62" s="5"/>
      <c r="G62" s="18" t="s">
        <v>276</v>
      </c>
      <c r="H62" s="18" t="s">
        <v>277</v>
      </c>
      <c r="I62" s="10" t="s">
        <v>25</v>
      </c>
    </row>
    <row r="63" ht="14.25" customHeight="1">
      <c r="A63" s="5" t="s">
        <v>278</v>
      </c>
      <c r="B63" s="6" t="s">
        <v>279</v>
      </c>
      <c r="C63" s="5" t="s">
        <v>45</v>
      </c>
      <c r="D63" s="6" t="s">
        <v>280</v>
      </c>
      <c r="E63" s="5" t="s">
        <v>260</v>
      </c>
      <c r="F63" s="5"/>
      <c r="G63" s="18">
        <v>30.0</v>
      </c>
      <c r="H63" s="18" t="s">
        <v>281</v>
      </c>
      <c r="I63" s="10" t="s">
        <v>25</v>
      </c>
    </row>
    <row r="64" ht="14.25" customHeight="1">
      <c r="A64" s="4" t="s">
        <v>282</v>
      </c>
      <c r="B64" s="4" t="s">
        <v>283</v>
      </c>
      <c r="C64" s="4"/>
      <c r="D64" s="4"/>
      <c r="E64" s="4"/>
      <c r="F64" s="4"/>
      <c r="G64" s="4"/>
      <c r="H64" s="4"/>
      <c r="I64" s="4"/>
    </row>
    <row r="65" ht="14.25" customHeight="1">
      <c r="A65" s="13" t="s">
        <v>284</v>
      </c>
      <c r="B65" s="14" t="s">
        <v>285</v>
      </c>
      <c r="C65" s="5" t="s">
        <v>286</v>
      </c>
      <c r="D65" s="6" t="s">
        <v>287</v>
      </c>
      <c r="E65" s="5" t="s">
        <v>23</v>
      </c>
      <c r="F65" s="5" t="s">
        <v>34</v>
      </c>
      <c r="G65" s="19" t="s">
        <v>288</v>
      </c>
      <c r="H65" s="8" t="s">
        <v>289</v>
      </c>
      <c r="I65" s="9" t="s">
        <v>25</v>
      </c>
    </row>
    <row r="66" ht="14.25" customHeight="1">
      <c r="A66" s="5" t="s">
        <v>290</v>
      </c>
      <c r="B66" s="6" t="s">
        <v>291</v>
      </c>
      <c r="C66" s="5" t="s">
        <v>286</v>
      </c>
      <c r="D66" s="6" t="s">
        <v>248</v>
      </c>
      <c r="E66" s="5" t="s">
        <v>23</v>
      </c>
      <c r="F66" s="5"/>
      <c r="G66" s="7" t="s">
        <v>292</v>
      </c>
      <c r="H66" s="8" t="s">
        <v>293</v>
      </c>
      <c r="I66" s="10" t="s">
        <v>25</v>
      </c>
    </row>
    <row r="67" ht="14.25" customHeight="1">
      <c r="A67" s="5" t="s">
        <v>294</v>
      </c>
      <c r="B67" s="6" t="s">
        <v>295</v>
      </c>
      <c r="C67" s="5" t="s">
        <v>296</v>
      </c>
      <c r="D67" s="6" t="s">
        <v>297</v>
      </c>
      <c r="E67" s="5" t="s">
        <v>23</v>
      </c>
      <c r="F67" s="5"/>
      <c r="G67" s="7" t="s">
        <v>298</v>
      </c>
      <c r="H67" s="8" t="s">
        <v>299</v>
      </c>
      <c r="I67" s="10" t="s">
        <v>25</v>
      </c>
    </row>
    <row r="68" ht="14.25" customHeight="1">
      <c r="A68" s="5" t="s">
        <v>300</v>
      </c>
      <c r="B68" s="6" t="s">
        <v>301</v>
      </c>
      <c r="C68" s="5" t="s">
        <v>247</v>
      </c>
      <c r="D68" s="6" t="s">
        <v>248</v>
      </c>
      <c r="E68" s="5" t="s">
        <v>23</v>
      </c>
      <c r="F68" s="5"/>
      <c r="G68" s="7" t="s">
        <v>302</v>
      </c>
      <c r="H68" s="8" t="s">
        <v>303</v>
      </c>
      <c r="I68" s="10" t="s">
        <v>25</v>
      </c>
    </row>
    <row r="69" ht="14.25" customHeight="1">
      <c r="A69" s="5" t="s">
        <v>304</v>
      </c>
      <c r="B69" s="6" t="s">
        <v>305</v>
      </c>
      <c r="C69" s="5" t="s">
        <v>306</v>
      </c>
      <c r="D69" s="6" t="s">
        <v>307</v>
      </c>
      <c r="E69" s="5" t="s">
        <v>23</v>
      </c>
      <c r="F69" s="5"/>
      <c r="G69" s="20" t="s">
        <v>308</v>
      </c>
      <c r="H69" s="21" t="s">
        <v>309</v>
      </c>
      <c r="I69" s="10" t="s">
        <v>25</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I$69"/>
  <conditionalFormatting sqref="A68:Z68">
    <cfRule type="notContainsBlanks" dxfId="0" priority="1">
      <formula>LEN(TRIM(A68))&gt;0</formula>
    </cfRule>
  </conditionalFormatting>
  <dataValidations>
    <dataValidation type="list" allowBlank="1" sqref="I5:I69">
      <formula1>"Open,Assumed,Confirmed"</formula1>
    </dataValidation>
  </dataValidation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4.0"/>
    <col customWidth="1" min="3" max="6" width="12.0"/>
    <col customWidth="1" min="7" max="26" width="8.71"/>
  </cols>
  <sheetData>
    <row r="1" ht="14.25" customHeight="1">
      <c r="A1" s="1" t="s">
        <v>310</v>
      </c>
    </row>
    <row r="2" ht="14.25" customHeight="1"/>
    <row r="3" ht="14.25" customHeight="1">
      <c r="A3" s="3" t="s">
        <v>311</v>
      </c>
      <c r="B3" s="3" t="s">
        <v>312</v>
      </c>
      <c r="C3" s="3" t="s">
        <v>313</v>
      </c>
      <c r="D3" s="3" t="s">
        <v>314</v>
      </c>
      <c r="E3" s="3" t="s">
        <v>315</v>
      </c>
      <c r="F3" s="3" t="s">
        <v>316</v>
      </c>
    </row>
    <row r="4" ht="14.25" customHeight="1">
      <c r="A4" s="5" t="s">
        <v>11</v>
      </c>
      <c r="B4" s="6" t="s">
        <v>317</v>
      </c>
      <c r="C4" s="5">
        <f>COUNTA('NFR questions'!A6:A10)</f>
        <v>5</v>
      </c>
      <c r="D4" s="5">
        <f>SUMPRODUCT(--(LEN('NFR questions'!G6:G10)&gt;0))</f>
        <v>5</v>
      </c>
      <c r="E4" s="5">
        <f>COUNTIF('NFR questions'!I6:I10,"Confirmed")</f>
        <v>0</v>
      </c>
      <c r="F4" s="22">
        <f t="shared" ref="F4:F14" si="1">IF(C4=0,0,D4/C4)</f>
        <v>1</v>
      </c>
    </row>
    <row r="5" ht="14.25" customHeight="1">
      <c r="A5" s="5" t="s">
        <v>41</v>
      </c>
      <c r="B5" s="6" t="s">
        <v>318</v>
      </c>
      <c r="C5" s="5">
        <f>COUNTA('NFR questions'!A12:A16)</f>
        <v>5</v>
      </c>
      <c r="D5" s="5">
        <f>SUMPRODUCT(--(LEN('NFR questions'!G12:G16)&gt;0))</f>
        <v>5</v>
      </c>
      <c r="E5" s="5">
        <f>COUNTIF('NFR questions'!I12:I16,"Confirmed")</f>
        <v>0</v>
      </c>
      <c r="F5" s="22">
        <f t="shared" si="1"/>
        <v>1</v>
      </c>
    </row>
    <row r="6" ht="14.25" customHeight="1">
      <c r="A6" s="5" t="s">
        <v>69</v>
      </c>
      <c r="B6" s="6" t="s">
        <v>319</v>
      </c>
      <c r="C6" s="5">
        <f>COUNTA('NFR questions'!A18:A23)</f>
        <v>6</v>
      </c>
      <c r="D6" s="5">
        <f>SUMPRODUCT(--(LEN('NFR questions'!G18:G23)&gt;0))</f>
        <v>4</v>
      </c>
      <c r="E6" s="5">
        <f>COUNTIF('NFR questions'!I18:I23,"Confirmed")</f>
        <v>0</v>
      </c>
      <c r="F6" s="22">
        <f t="shared" si="1"/>
        <v>0.6666666667</v>
      </c>
    </row>
    <row r="7" ht="14.25" customHeight="1">
      <c r="A7" s="5" t="s">
        <v>98</v>
      </c>
      <c r="B7" s="6" t="s">
        <v>320</v>
      </c>
      <c r="C7" s="5">
        <f>COUNTA('NFR questions'!A25:A31)</f>
        <v>7</v>
      </c>
      <c r="D7" s="5">
        <f>SUMPRODUCT(--(LEN('NFR questions'!G25:G31)&gt;0))</f>
        <v>7</v>
      </c>
      <c r="E7" s="5">
        <f>COUNTIF('NFR questions'!I25:I31,"Confirmed")</f>
        <v>0</v>
      </c>
      <c r="F7" s="22">
        <f t="shared" si="1"/>
        <v>1</v>
      </c>
    </row>
    <row r="8" ht="14.25" customHeight="1">
      <c r="A8" s="5" t="s">
        <v>137</v>
      </c>
      <c r="B8" s="6" t="s">
        <v>321</v>
      </c>
      <c r="C8" s="5">
        <f>COUNTA('NFR questions'!A33:A37)</f>
        <v>5</v>
      </c>
      <c r="D8" s="5">
        <f>SUMPRODUCT(--(LEN('NFR questions'!G33:G37)&gt;0))</f>
        <v>5</v>
      </c>
      <c r="E8" s="5">
        <f>COUNTIF('NFR questions'!I33:I37,"Confirmed")</f>
        <v>0</v>
      </c>
      <c r="F8" s="22">
        <f t="shared" si="1"/>
        <v>1</v>
      </c>
    </row>
    <row r="9" ht="14.25" customHeight="1">
      <c r="A9" s="5" t="s">
        <v>166</v>
      </c>
      <c r="B9" s="6" t="s">
        <v>200</v>
      </c>
      <c r="C9" s="5">
        <f>COUNTA('NFR questions'!A39:A45)</f>
        <v>7</v>
      </c>
      <c r="D9" s="5">
        <f>SUMPRODUCT(--(LEN('NFR questions'!G39:G45)&gt;0))</f>
        <v>7</v>
      </c>
      <c r="E9" s="5">
        <f>COUNTIF('NFR questions'!I39:I45,"Confirmed")</f>
        <v>0</v>
      </c>
      <c r="F9" s="22">
        <f t="shared" si="1"/>
        <v>1</v>
      </c>
    </row>
    <row r="10" ht="14.25" customHeight="1">
      <c r="A10" s="5" t="s">
        <v>202</v>
      </c>
      <c r="B10" s="6" t="s">
        <v>322</v>
      </c>
      <c r="C10" s="5">
        <f>COUNTA('NFR questions'!A47:A49)</f>
        <v>3</v>
      </c>
      <c r="D10" s="5">
        <f>SUMPRODUCT(--(LEN('NFR questions'!G47:G49)&gt;0))</f>
        <v>3</v>
      </c>
      <c r="E10" s="5">
        <f>COUNTIF('NFR questions'!I47:I49,"Confirmed")</f>
        <v>0</v>
      </c>
      <c r="F10" s="22">
        <f t="shared" si="1"/>
        <v>1</v>
      </c>
    </row>
    <row r="11" ht="14.25" customHeight="1">
      <c r="A11" s="5" t="s">
        <v>220</v>
      </c>
      <c r="B11" s="6" t="s">
        <v>323</v>
      </c>
      <c r="C11" s="5">
        <f>COUNTA('NFR questions'!A51:A56)</f>
        <v>6</v>
      </c>
      <c r="D11" s="5">
        <f>SUMPRODUCT(--(LEN('NFR questions'!G51:G56)&gt;0))</f>
        <v>6</v>
      </c>
      <c r="E11" s="5">
        <f>COUNTIF('NFR questions'!I51:I56,"Confirmed")</f>
        <v>0</v>
      </c>
      <c r="F11" s="22">
        <f t="shared" si="1"/>
        <v>1</v>
      </c>
    </row>
    <row r="12" ht="14.25" customHeight="1">
      <c r="A12" s="5" t="s">
        <v>250</v>
      </c>
      <c r="B12" s="6" t="s">
        <v>324</v>
      </c>
      <c r="C12" s="5">
        <f>COUNTA('NFR questions'!A58:A63)</f>
        <v>6</v>
      </c>
      <c r="D12" s="5">
        <f>SUMPRODUCT(--(LEN('NFR questions'!G58:G63)&gt;0))</f>
        <v>6</v>
      </c>
      <c r="E12" s="5">
        <f>COUNTIF('NFR questions'!I58:I63,"Confirmed")</f>
        <v>0</v>
      </c>
      <c r="F12" s="22">
        <f t="shared" si="1"/>
        <v>1</v>
      </c>
    </row>
    <row r="13" ht="14.25" customHeight="1">
      <c r="A13" s="5" t="s">
        <v>282</v>
      </c>
      <c r="B13" s="6" t="s">
        <v>325</v>
      </c>
      <c r="C13" s="5">
        <f>COUNTA('NFR questions'!A65:A69)</f>
        <v>5</v>
      </c>
      <c r="D13" s="5">
        <f>SUMPRODUCT(--(LEN('NFR questions'!G65:G69)&gt;0))</f>
        <v>5</v>
      </c>
      <c r="E13" s="5">
        <f>COUNTIF('NFR questions'!I65:I69,"Confirmed")</f>
        <v>0</v>
      </c>
      <c r="F13" s="22">
        <f t="shared" si="1"/>
        <v>1</v>
      </c>
    </row>
    <row r="14" ht="14.25" customHeight="1">
      <c r="A14" s="13"/>
      <c r="B14" s="14" t="s">
        <v>326</v>
      </c>
      <c r="C14" s="13">
        <f t="shared" ref="C14:E14" si="2">SUM(C4:C13)</f>
        <v>55</v>
      </c>
      <c r="D14" s="13">
        <f t="shared" si="2"/>
        <v>53</v>
      </c>
      <c r="E14" s="13">
        <f t="shared" si="2"/>
        <v>0</v>
      </c>
      <c r="F14" s="23">
        <f t="shared" si="1"/>
        <v>0.9636363636</v>
      </c>
    </row>
    <row r="15" ht="14.25" customHeight="1"/>
    <row r="16" ht="14.25" customHeight="1">
      <c r="B16" s="24" t="s">
        <v>327</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90.0"/>
    <col customWidth="1" min="3" max="26" width="8.71"/>
  </cols>
  <sheetData>
    <row r="1" ht="14.25" customHeight="1">
      <c r="A1" s="1" t="s">
        <v>328</v>
      </c>
    </row>
    <row r="2" ht="14.25" customHeight="1"/>
    <row r="3" ht="14.25" customHeight="1">
      <c r="A3" s="25" t="s">
        <v>329</v>
      </c>
      <c r="B3" s="26" t="s">
        <v>330</v>
      </c>
    </row>
    <row r="4" ht="14.25" customHeight="1">
      <c r="A4" s="27" t="s">
        <v>331</v>
      </c>
      <c r="B4" s="26" t="s">
        <v>332</v>
      </c>
    </row>
    <row r="5" ht="14.25" customHeight="1">
      <c r="A5" s="28" t="s">
        <v>8</v>
      </c>
      <c r="B5" s="26" t="s">
        <v>333</v>
      </c>
    </row>
    <row r="6" ht="14.25" customHeight="1">
      <c r="A6" s="28" t="s">
        <v>334</v>
      </c>
      <c r="B6" s="26" t="s">
        <v>335</v>
      </c>
    </row>
    <row r="7" ht="14.25" customHeight="1">
      <c r="A7" s="28" t="s">
        <v>10</v>
      </c>
      <c r="B7" s="26" t="s">
        <v>336</v>
      </c>
    </row>
    <row r="8" ht="14.25" customHeight="1">
      <c r="A8" s="28" t="s">
        <v>6</v>
      </c>
      <c r="B8" s="26" t="s">
        <v>337</v>
      </c>
    </row>
    <row r="9" ht="14.25" customHeight="1">
      <c r="A9" s="28" t="s">
        <v>338</v>
      </c>
      <c r="B9" s="26" t="s">
        <v>339</v>
      </c>
    </row>
    <row r="10" ht="14.25" customHeight="1">
      <c r="A10" s="28" t="s">
        <v>340</v>
      </c>
      <c r="B10" s="26" t="s">
        <v>341</v>
      </c>
    </row>
    <row r="11" ht="14.25" customHeight="1">
      <c r="A11" s="28"/>
      <c r="B11" s="26"/>
    </row>
    <row r="12" ht="14.25" customHeight="1">
      <c r="A12" s="28" t="s">
        <v>342</v>
      </c>
      <c r="B12" s="26" t="s">
        <v>343</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2026-10-18T20:34:05Z</dcterms:created>
  <dc:creator>openpyxl</dc:creator>
</cp:coreProperties>
</file>